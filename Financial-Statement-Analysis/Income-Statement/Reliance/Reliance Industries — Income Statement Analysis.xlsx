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rjunmechery/Desktop/"/>
    </mc:Choice>
  </mc:AlternateContent>
  <xr:revisionPtr revIDLastSave="0" documentId="13_ncr:1_{13B16D28-2966-2B46-AE0A-6D19E7089466}" xr6:coauthVersionLast="47" xr6:coauthVersionMax="47" xr10:uidLastSave="{00000000-0000-0000-0000-000000000000}"/>
  <bookViews>
    <workbookView xWindow="0" yWindow="0" windowWidth="28800" windowHeight="18000" activeTab="1" xr2:uid="{507B15FA-E1E5-274F-99F5-F17A93131E19}"/>
  </bookViews>
  <sheets>
    <sheet name="Reliance_Raw_Data" sheetId="1" r:id="rId1"/>
    <sheet name="Reliance_Analysis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9" i="2" l="1"/>
  <c r="D20" i="2"/>
  <c r="D21" i="2"/>
  <c r="D22" i="2"/>
  <c r="D23" i="2"/>
  <c r="D24" i="2"/>
  <c r="D25" i="2"/>
  <c r="D26" i="2"/>
  <c r="D18" i="2"/>
  <c r="C26" i="2"/>
  <c r="B26" i="2"/>
  <c r="C25" i="2"/>
  <c r="B25" i="2"/>
  <c r="C24" i="2"/>
  <c r="B24" i="2"/>
  <c r="C23" i="2"/>
  <c r="B23" i="2"/>
  <c r="C22" i="2"/>
  <c r="B22" i="2"/>
  <c r="C21" i="2"/>
  <c r="B21" i="2"/>
  <c r="C20" i="2"/>
  <c r="B20" i="2"/>
  <c r="C19" i="2"/>
  <c r="B19" i="2"/>
  <c r="C18" i="2"/>
  <c r="B18" i="2"/>
  <c r="D12" i="2"/>
  <c r="C12" i="2"/>
  <c r="B12" i="2"/>
  <c r="D9" i="2"/>
  <c r="D10" i="2"/>
  <c r="D11" i="2"/>
  <c r="D8" i="2"/>
  <c r="C11" i="2"/>
  <c r="B11" i="2"/>
  <c r="C10" i="2"/>
  <c r="B10" i="2"/>
  <c r="C9" i="2"/>
  <c r="B9" i="2"/>
  <c r="C8" i="2"/>
  <c r="B8" i="2"/>
</calcChain>
</file>

<file path=xl/sharedStrings.xml><?xml version="1.0" encoding="utf-8"?>
<sst xmlns="http://schemas.openxmlformats.org/spreadsheetml/2006/main" count="77" uniqueCount="56">
  <si>
    <t>Particulars</t>
  </si>
  <si>
    <t>FY2025</t>
  </si>
  <si>
    <t>FY2026</t>
  </si>
  <si>
    <t>Revenue from Operations</t>
  </si>
  <si>
    <t>Other Income</t>
  </si>
  <si>
    <t>Total Income</t>
  </si>
  <si>
    <t>Cost of Materials Consumed</t>
  </si>
  <si>
    <t>Purchase of Stock-in-Trade</t>
  </si>
  <si>
    <t>Changes in Inventories</t>
  </si>
  <si>
    <t>Excise Duty</t>
  </si>
  <si>
    <t>Employee Benefits Expense</t>
  </si>
  <si>
    <t>Finance Costs</t>
  </si>
  <si>
    <t>Depreciation / Amortisation / Depletion</t>
  </si>
  <si>
    <t>Other Expenses</t>
  </si>
  <si>
    <t>Total Expenses</t>
  </si>
  <si>
    <t>Profit Before Tax*</t>
  </si>
  <si>
    <t>Current Tax</t>
  </si>
  <si>
    <t>Deferred Tax</t>
  </si>
  <si>
    <t>Profit After Tax</t>
  </si>
  <si>
    <t>Share of Profit of Associates/JVs</t>
  </si>
  <si>
    <t>Profit for the Year</t>
  </si>
  <si>
    <t>RELIANCE INDUSTRIES INCOME STATEMENT ANALYSIS</t>
  </si>
  <si>
    <t>RELIANCE INDUSTRIES — INCOME STATEMENT ANALYSIS</t>
  </si>
  <si>
    <t>FY2025 vs FY2026</t>
  </si>
  <si>
    <t>Revenue &amp; Profitability Analysis</t>
  </si>
  <si>
    <t>Metric</t>
  </si>
  <si>
    <t>Change/Growth</t>
  </si>
  <si>
    <t>Analyst Observation</t>
  </si>
  <si>
    <t>Net Profit Margin</t>
  </si>
  <si>
    <t>Revenue increased by 9.75%.</t>
  </si>
  <si>
    <t>Total income increased by 10.67%, slightly faster than revenue.</t>
  </si>
  <si>
    <t>Total expenses increased by 10.02%, slower than total income.</t>
  </si>
  <si>
    <t>Profit for the year increased by 17.77%, faster than total income.</t>
  </si>
  <si>
    <t>Net profit margin improved from 8.30% to 8.90%.</t>
  </si>
  <si>
    <t>Expense Analysis</t>
  </si>
  <si>
    <t>Cost of materials increased by approximately 4.97%, slower than revenue growth.</t>
  </si>
  <si>
    <t>Purchase of stock-in-trade increased by approximately 14.88%, faster than revenue.</t>
  </si>
  <si>
    <t>Changes in inventories became less negative, indicating a lower inventory adjustment.</t>
  </si>
  <si>
    <t>Excise duty increased by approximately 19.51%, faster than revenue.</t>
  </si>
  <si>
    <t>Employee benefits increased by approximately 6.16%, slower than revenue.</t>
  </si>
  <si>
    <t>Finance costs increased by approximately 11.51%, faster than revenue.</t>
  </si>
  <si>
    <t>Depreciation increased by approximately 8.57%, broadly in line with business growth.</t>
  </si>
  <si>
    <t>Other expenses increased by approximately 12.97%, faster than revenue.</t>
  </si>
  <si>
    <t>Total expenses increased by 10.02%, slightly slower than total income growth.</t>
  </si>
  <si>
    <t>Key Analyst Findings</t>
  </si>
  <si>
    <t>Finding</t>
  </si>
  <si>
    <t>Observation</t>
  </si>
  <si>
    <t>Revenue vs Expense Growth</t>
  </si>
  <si>
    <t>Revenue increased by 9.75%, while total expenses increased by 10.02%, indicating expenses grew slightly faster than revenue.</t>
  </si>
  <si>
    <t>Profit Growth</t>
  </si>
  <si>
    <t>Profit for the year increased by 17.77%, significantly faster than revenue growth.</t>
  </si>
  <si>
    <t>Net profit margin improved from 8.30% to 8.90%, indicating improved profitability.</t>
  </si>
  <si>
    <t>Expense Pressure</t>
  </si>
  <si>
    <t>Purchase of stock-in-trade, excise duty, finance costs and other expenses grew faster than revenue.</t>
  </si>
  <si>
    <t>Cost Structure</t>
  </si>
  <si>
    <t>Cost movements were mixed, with materials and employee costs growing slower than revenue while several other expense categories grew faster.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</si>
</sst>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5" formatCode="&quot;₹&quot;#,##0_);\(&quot;₹&quot;#,##0\)"/>
  </numFmts>
  <fonts count="6" x14ac:knownFonts="1"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/>
    <xf numFmtId="0" fontId="1" fillId="2" borderId="0" xfId="0" applyFont="1" applyFill="1"/>
    <xf numFmtId="5" fontId="1" fillId="2" borderId="0" xfId="0" applyNumberFormat="1" applyFont="1" applyFill="1"/>
    <xf numFmtId="5" fontId="0" fillId="0" borderId="0" xfId="0" applyNumberFormat="1"/>
    <xf numFmtId="0" fontId="4" fillId="0" borderId="0" xfId="0" applyFont="1" applyAlignment="1">
      <alignment horizontal="center" wrapText="1"/>
    </xf>
    <xf numFmtId="0" fontId="3" fillId="2" borderId="0" xfId="0" applyFont="1" applyFill="1"/>
    <xf numFmtId="10" fontId="0" fillId="0" borderId="0" xfId="0" applyNumberFormat="1"/>
    <xf numFmtId="10" fontId="1" fillId="2" borderId="0" xfId="0" applyNumberFormat="1" applyFont="1" applyFill="1"/>
    <xf numFmtId="0" fontId="5" fillId="0" borderId="0" xfId="0" applyFont="1" applyAlignment="1">
      <alignment horizontal="left"/>
    </xf>
    <xf numFmtId="0" fontId="2" fillId="0" borderId="0" xfId="0" applyFont="1" applyFill="1"/>
    <xf numFmtId="0" fontId="5" fillId="0" borderId="0" xfId="0" applyFont="1"/>
    <xf numFmtId="10" fontId="3" fillId="2" borderId="0" xfId="0" applyNumberFormat="1" applyFont="1" applyFill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A7081-6D0B-E94A-88B0-4468BE9EF00F}">
  <dimension ref="A1:G22"/>
  <sheetViews>
    <sheetView workbookViewId="0">
      <selection activeCell="K22" sqref="K22"/>
    </sheetView>
  </sheetViews>
  <sheetFormatPr baseColWidth="10" defaultRowHeight="16" x14ac:dyDescent="0.2"/>
  <cols>
    <col min="1" max="1" width="34.33203125" bestFit="1" customWidth="1"/>
    <col min="2" max="3" width="11.33203125" style="7" bestFit="1" customWidth="1"/>
  </cols>
  <sheetData>
    <row r="1" spans="1:7" ht="40" customHeight="1" x14ac:dyDescent="0.25">
      <c r="A1" s="8" t="s">
        <v>21</v>
      </c>
      <c r="B1" s="8"/>
      <c r="C1" s="8"/>
      <c r="D1" s="4"/>
      <c r="E1" s="4"/>
      <c r="F1" s="4"/>
      <c r="G1" s="4"/>
    </row>
    <row r="4" spans="1:7" x14ac:dyDescent="0.2">
      <c r="A4" s="5" t="s">
        <v>0</v>
      </c>
      <c r="B4" s="6" t="s">
        <v>1</v>
      </c>
      <c r="C4" s="6" t="s">
        <v>2</v>
      </c>
    </row>
    <row r="5" spans="1:7" x14ac:dyDescent="0.2">
      <c r="A5" t="s">
        <v>3</v>
      </c>
      <c r="B5" s="7">
        <v>980136</v>
      </c>
      <c r="C5" s="7">
        <v>1075675</v>
      </c>
    </row>
    <row r="6" spans="1:7" x14ac:dyDescent="0.2">
      <c r="A6" t="s">
        <v>4</v>
      </c>
      <c r="B6" s="7">
        <v>17978</v>
      </c>
      <c r="C6" s="7">
        <v>28962</v>
      </c>
    </row>
    <row r="7" spans="1:7" x14ac:dyDescent="0.2">
      <c r="A7" s="5" t="s">
        <v>5</v>
      </c>
      <c r="B7" s="6">
        <v>998114</v>
      </c>
      <c r="C7" s="6">
        <v>1104637</v>
      </c>
    </row>
    <row r="8" spans="1:7" x14ac:dyDescent="0.2">
      <c r="A8" t="s">
        <v>6</v>
      </c>
      <c r="B8" s="7">
        <v>422127</v>
      </c>
      <c r="C8" s="7">
        <v>443101</v>
      </c>
    </row>
    <row r="9" spans="1:7" x14ac:dyDescent="0.2">
      <c r="A9" t="s">
        <v>7</v>
      </c>
      <c r="B9" s="7">
        <v>222686</v>
      </c>
      <c r="C9" s="7">
        <v>255829</v>
      </c>
    </row>
    <row r="10" spans="1:7" x14ac:dyDescent="0.2">
      <c r="A10" t="s">
        <v>8</v>
      </c>
      <c r="B10" s="7">
        <v>-15124</v>
      </c>
      <c r="C10" s="7">
        <v>-10267</v>
      </c>
    </row>
    <row r="11" spans="1:7" x14ac:dyDescent="0.2">
      <c r="A11" t="s">
        <v>9</v>
      </c>
      <c r="B11" s="7">
        <v>15443</v>
      </c>
      <c r="C11" s="7">
        <v>18456</v>
      </c>
    </row>
    <row r="12" spans="1:7" x14ac:dyDescent="0.2">
      <c r="A12" t="s">
        <v>10</v>
      </c>
      <c r="B12" s="7">
        <v>28559</v>
      </c>
      <c r="C12" s="7">
        <v>30318</v>
      </c>
    </row>
    <row r="13" spans="1:7" x14ac:dyDescent="0.2">
      <c r="A13" t="s">
        <v>11</v>
      </c>
      <c r="B13" s="7">
        <v>24269</v>
      </c>
      <c r="C13" s="7">
        <v>27061</v>
      </c>
    </row>
    <row r="14" spans="1:7" x14ac:dyDescent="0.2">
      <c r="A14" t="s">
        <v>12</v>
      </c>
      <c r="B14" s="7">
        <v>53136</v>
      </c>
      <c r="C14" s="7">
        <v>57688</v>
      </c>
    </row>
    <row r="15" spans="1:7" x14ac:dyDescent="0.2">
      <c r="A15" t="s">
        <v>13</v>
      </c>
      <c r="B15" s="7">
        <v>141001</v>
      </c>
      <c r="C15" s="7">
        <v>159289</v>
      </c>
    </row>
    <row r="16" spans="1:7" x14ac:dyDescent="0.2">
      <c r="A16" s="5" t="s">
        <v>14</v>
      </c>
      <c r="B16" s="6">
        <v>892097</v>
      </c>
      <c r="C16" s="6">
        <v>981475</v>
      </c>
    </row>
    <row r="17" spans="1:3" x14ac:dyDescent="0.2">
      <c r="A17" t="s">
        <v>15</v>
      </c>
      <c r="B17" s="7">
        <v>106017</v>
      </c>
      <c r="C17" s="7">
        <v>123162</v>
      </c>
    </row>
    <row r="18" spans="1:3" x14ac:dyDescent="0.2">
      <c r="A18" t="s">
        <v>16</v>
      </c>
      <c r="B18" s="7">
        <v>12758</v>
      </c>
      <c r="C18" s="7">
        <v>9736</v>
      </c>
    </row>
    <row r="19" spans="1:3" x14ac:dyDescent="0.2">
      <c r="A19" t="s">
        <v>17</v>
      </c>
      <c r="B19" s="7">
        <v>12472</v>
      </c>
      <c r="C19" s="7">
        <v>17816</v>
      </c>
    </row>
    <row r="20" spans="1:3" x14ac:dyDescent="0.2">
      <c r="A20" t="s">
        <v>18</v>
      </c>
      <c r="B20" s="7">
        <v>80787</v>
      </c>
      <c r="C20" s="7">
        <v>95610</v>
      </c>
    </row>
    <row r="21" spans="1:3" x14ac:dyDescent="0.2">
      <c r="A21" t="s">
        <v>19</v>
      </c>
      <c r="B21" s="7">
        <v>522</v>
      </c>
      <c r="C21" s="7">
        <v>144</v>
      </c>
    </row>
    <row r="22" spans="1:3" x14ac:dyDescent="0.2">
      <c r="A22" s="5" t="s">
        <v>20</v>
      </c>
      <c r="B22" s="6">
        <v>81309</v>
      </c>
      <c r="C22" s="6">
        <v>95754</v>
      </c>
    </row>
  </sheetData>
  <mergeCells count="1">
    <mergeCell ref="A1: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F4344-8E38-4349-8501-0D592E7B79FF}">
  <dimension ref="A1:H36"/>
  <sheetViews>
    <sheetView tabSelected="1" workbookViewId="0">
      <selection activeCell="E22" sqref="E22"/>
    </sheetView>
  </sheetViews>
  <sheetFormatPr baseColWidth="10" defaultRowHeight="16" x14ac:dyDescent="0.2"/>
  <cols>
    <col min="1" max="1" width="34.33203125" bestFit="1" customWidth="1"/>
    <col min="2" max="2" width="9.83203125" bestFit="1" customWidth="1"/>
    <col min="3" max="3" width="10.83203125" bestFit="1" customWidth="1"/>
    <col min="4" max="4" width="14.1640625" style="10" bestFit="1" customWidth="1"/>
    <col min="5" max="5" width="125.5" bestFit="1" customWidth="1"/>
  </cols>
  <sheetData>
    <row r="1" spans="1:5" ht="21" x14ac:dyDescent="0.25">
      <c r="A1" s="3" t="s">
        <v>22</v>
      </c>
      <c r="B1" s="3"/>
      <c r="C1" s="3"/>
      <c r="D1" s="3"/>
      <c r="E1" s="3"/>
    </row>
    <row r="2" spans="1:5" x14ac:dyDescent="0.2">
      <c r="A2" s="2" t="s">
        <v>23</v>
      </c>
      <c r="B2" s="2"/>
      <c r="C2" s="2"/>
      <c r="D2" s="2"/>
      <c r="E2" s="2"/>
    </row>
    <row r="5" spans="1:5" ht="19" x14ac:dyDescent="0.25">
      <c r="A5" s="12" t="s">
        <v>24</v>
      </c>
      <c r="B5" s="12"/>
      <c r="C5" s="12"/>
      <c r="D5" s="12"/>
      <c r="E5" s="12"/>
    </row>
    <row r="7" spans="1:5" x14ac:dyDescent="0.2">
      <c r="A7" s="5" t="s">
        <v>25</v>
      </c>
      <c r="B7" s="5" t="s">
        <v>1</v>
      </c>
      <c r="C7" s="5" t="s">
        <v>2</v>
      </c>
      <c r="D7" s="11" t="s">
        <v>26</v>
      </c>
      <c r="E7" s="5" t="s">
        <v>27</v>
      </c>
    </row>
    <row r="8" spans="1:5" x14ac:dyDescent="0.2">
      <c r="A8" t="s">
        <v>3</v>
      </c>
      <c r="B8" s="7">
        <f>Reliance_Raw_Data!B5</f>
        <v>980136</v>
      </c>
      <c r="C8" s="7">
        <f>Reliance_Raw_Data!C5</f>
        <v>1075675</v>
      </c>
      <c r="D8" s="10">
        <f>(C8-B8)/B8</f>
        <v>9.7475248332884415E-2</v>
      </c>
      <c r="E8" s="1" t="s">
        <v>29</v>
      </c>
    </row>
    <row r="9" spans="1:5" x14ac:dyDescent="0.2">
      <c r="A9" t="s">
        <v>5</v>
      </c>
      <c r="B9" s="7">
        <f>Reliance_Raw_Data!B7</f>
        <v>998114</v>
      </c>
      <c r="C9" s="7">
        <f>Reliance_Raw_Data!C7</f>
        <v>1104637</v>
      </c>
      <c r="D9" s="10">
        <f t="shared" ref="D9:D12" si="0">(C9-B9)/B9</f>
        <v>0.10672428199584416</v>
      </c>
      <c r="E9" s="1" t="s">
        <v>30</v>
      </c>
    </row>
    <row r="10" spans="1:5" x14ac:dyDescent="0.2">
      <c r="A10" t="s">
        <v>14</v>
      </c>
      <c r="B10" s="7">
        <f>Reliance_Raw_Data!B16</f>
        <v>892097</v>
      </c>
      <c r="C10" s="7">
        <f>Reliance_Raw_Data!C16</f>
        <v>981475</v>
      </c>
      <c r="D10" s="10">
        <f t="shared" si="0"/>
        <v>0.10018865661469549</v>
      </c>
      <c r="E10" s="1" t="s">
        <v>31</v>
      </c>
    </row>
    <row r="11" spans="1:5" x14ac:dyDescent="0.2">
      <c r="A11" t="s">
        <v>20</v>
      </c>
      <c r="B11" s="7">
        <f>Reliance_Raw_Data!B22</f>
        <v>81309</v>
      </c>
      <c r="C11" s="7">
        <f>Reliance_Raw_Data!C22</f>
        <v>95754</v>
      </c>
      <c r="D11" s="10">
        <f t="shared" si="0"/>
        <v>0.17765561008006495</v>
      </c>
      <c r="E11" s="1" t="s">
        <v>32</v>
      </c>
    </row>
    <row r="12" spans="1:5" x14ac:dyDescent="0.2">
      <c r="A12" t="s">
        <v>28</v>
      </c>
      <c r="B12" s="10">
        <f>B11/B8</f>
        <v>8.2956854967065799E-2</v>
      </c>
      <c r="C12" s="10">
        <f>C11/C8</f>
        <v>8.9017593604016079E-2</v>
      </c>
      <c r="D12" s="10">
        <f>C12-B12</f>
        <v>6.0607386369502803E-3</v>
      </c>
      <c r="E12" s="1" t="s">
        <v>33</v>
      </c>
    </row>
    <row r="15" spans="1:5" ht="19" x14ac:dyDescent="0.25">
      <c r="A15" s="12" t="s">
        <v>34</v>
      </c>
      <c r="B15" s="12"/>
      <c r="C15" s="12"/>
      <c r="D15" s="12"/>
      <c r="E15" s="12"/>
    </row>
    <row r="17" spans="1:8" x14ac:dyDescent="0.2">
      <c r="A17" s="5" t="s">
        <v>25</v>
      </c>
      <c r="B17" s="5" t="s">
        <v>1</v>
      </c>
      <c r="C17" s="5" t="s">
        <v>2</v>
      </c>
      <c r="D17" s="11" t="s">
        <v>26</v>
      </c>
      <c r="E17" s="5" t="s">
        <v>27</v>
      </c>
      <c r="G17" s="1"/>
      <c r="H17" s="1"/>
    </row>
    <row r="18" spans="1:8" x14ac:dyDescent="0.2">
      <c r="A18" t="s">
        <v>6</v>
      </c>
      <c r="B18" s="7">
        <f>Reliance_Raw_Data!B8</f>
        <v>422127</v>
      </c>
      <c r="C18" s="7">
        <f>Reliance_Raw_Data!C8</f>
        <v>443101</v>
      </c>
      <c r="D18" s="10">
        <f>(C18-B18)/B18</f>
        <v>4.96864687641397E-2</v>
      </c>
      <c r="E18" s="1" t="s">
        <v>35</v>
      </c>
      <c r="F18" s="1"/>
      <c r="G18" s="1"/>
    </row>
    <row r="19" spans="1:8" x14ac:dyDescent="0.2">
      <c r="A19" t="s">
        <v>7</v>
      </c>
      <c r="B19" s="7">
        <f>Reliance_Raw_Data!B9</f>
        <v>222686</v>
      </c>
      <c r="C19" s="7">
        <f>Reliance_Raw_Data!C9</f>
        <v>255829</v>
      </c>
      <c r="D19" s="10">
        <f t="shared" ref="D19:D26" si="1">(C19-B19)/B19</f>
        <v>0.14883288576740342</v>
      </c>
      <c r="E19" s="1" t="s">
        <v>36</v>
      </c>
      <c r="G19" s="1"/>
    </row>
    <row r="20" spans="1:8" x14ac:dyDescent="0.2">
      <c r="A20" t="s">
        <v>8</v>
      </c>
      <c r="B20" s="7">
        <f>Reliance_Raw_Data!B10</f>
        <v>-15124</v>
      </c>
      <c r="C20" s="7">
        <f>Reliance_Raw_Data!C10</f>
        <v>-10267</v>
      </c>
      <c r="D20" s="10">
        <f t="shared" si="1"/>
        <v>-0.32114519968262367</v>
      </c>
      <c r="E20" s="1" t="s">
        <v>37</v>
      </c>
      <c r="F20" s="1"/>
      <c r="G20" s="1"/>
    </row>
    <row r="21" spans="1:8" x14ac:dyDescent="0.2">
      <c r="A21" t="s">
        <v>9</v>
      </c>
      <c r="B21" s="7">
        <f>Reliance_Raw_Data!B11</f>
        <v>15443</v>
      </c>
      <c r="C21" s="7">
        <f>Reliance_Raw_Data!C11</f>
        <v>18456</v>
      </c>
      <c r="D21" s="10">
        <f t="shared" si="1"/>
        <v>0.19510457812601179</v>
      </c>
      <c r="E21" s="1" t="s">
        <v>38</v>
      </c>
      <c r="F21" s="1"/>
      <c r="G21" s="1"/>
    </row>
    <row r="22" spans="1:8" x14ac:dyDescent="0.2">
      <c r="A22" t="s">
        <v>10</v>
      </c>
      <c r="B22" s="7">
        <f>Reliance_Raw_Data!B12</f>
        <v>28559</v>
      </c>
      <c r="C22" s="7">
        <f>Reliance_Raw_Data!C12</f>
        <v>30318</v>
      </c>
      <c r="D22" s="10">
        <f t="shared" si="1"/>
        <v>6.1591792429706922E-2</v>
      </c>
      <c r="E22" s="1" t="s">
        <v>39</v>
      </c>
      <c r="F22" s="1"/>
      <c r="G22" s="1"/>
    </row>
    <row r="23" spans="1:8" x14ac:dyDescent="0.2">
      <c r="A23" t="s">
        <v>11</v>
      </c>
      <c r="B23" s="7">
        <f>Reliance_Raw_Data!B13</f>
        <v>24269</v>
      </c>
      <c r="C23" s="7">
        <f>Reliance_Raw_Data!C13</f>
        <v>27061</v>
      </c>
      <c r="D23" s="10">
        <f t="shared" si="1"/>
        <v>0.11504388314310438</v>
      </c>
      <c r="E23" s="1" t="s">
        <v>40</v>
      </c>
      <c r="F23" s="1"/>
      <c r="G23" s="1"/>
    </row>
    <row r="24" spans="1:8" x14ac:dyDescent="0.2">
      <c r="A24" t="s">
        <v>12</v>
      </c>
      <c r="B24" s="7">
        <f>Reliance_Raw_Data!B14</f>
        <v>53136</v>
      </c>
      <c r="C24" s="7">
        <f>Reliance_Raw_Data!C14</f>
        <v>57688</v>
      </c>
      <c r="D24" s="10">
        <f t="shared" si="1"/>
        <v>8.5666967780788916E-2</v>
      </c>
      <c r="E24" s="1" t="s">
        <v>41</v>
      </c>
      <c r="F24" s="1"/>
      <c r="G24" s="1"/>
    </row>
    <row r="25" spans="1:8" x14ac:dyDescent="0.2">
      <c r="A25" t="s">
        <v>13</v>
      </c>
      <c r="B25" s="7">
        <f>Reliance_Raw_Data!B15</f>
        <v>141001</v>
      </c>
      <c r="C25" s="7">
        <f>Reliance_Raw_Data!C15</f>
        <v>159289</v>
      </c>
      <c r="D25" s="10">
        <f t="shared" si="1"/>
        <v>0.12970120779285255</v>
      </c>
      <c r="E25" s="1" t="s">
        <v>42</v>
      </c>
      <c r="F25" s="1"/>
      <c r="G25" s="1"/>
    </row>
    <row r="26" spans="1:8" x14ac:dyDescent="0.2">
      <c r="A26" s="13" t="s">
        <v>14</v>
      </c>
      <c r="B26" s="7">
        <f>SUM(B18:B25)</f>
        <v>892097</v>
      </c>
      <c r="C26" s="7">
        <f>SUM(C18:C25)</f>
        <v>981475</v>
      </c>
      <c r="D26" s="10">
        <f t="shared" si="1"/>
        <v>0.10018865661469549</v>
      </c>
      <c r="E26" s="1" t="s">
        <v>43</v>
      </c>
      <c r="F26" s="1"/>
      <c r="G26" s="1"/>
    </row>
    <row r="29" spans="1:8" ht="19" x14ac:dyDescent="0.25">
      <c r="A29" s="14" t="s">
        <v>44</v>
      </c>
    </row>
    <row r="31" spans="1:8" x14ac:dyDescent="0.2">
      <c r="A31" s="5" t="s">
        <v>45</v>
      </c>
      <c r="B31" s="9"/>
      <c r="C31" s="9"/>
      <c r="D31" s="15"/>
      <c r="E31" s="5" t="s">
        <v>46</v>
      </c>
      <c r="G31" s="10"/>
    </row>
    <row r="32" spans="1:8" x14ac:dyDescent="0.2">
      <c r="A32" s="16" t="s">
        <v>47</v>
      </c>
      <c r="E32" s="1" t="s">
        <v>48</v>
      </c>
      <c r="G32" s="10"/>
    </row>
    <row r="33" spans="1:7" x14ac:dyDescent="0.2">
      <c r="A33" s="16" t="s">
        <v>49</v>
      </c>
      <c r="E33" s="1" t="s">
        <v>50</v>
      </c>
      <c r="G33" s="10"/>
    </row>
    <row r="34" spans="1:7" x14ac:dyDescent="0.2">
      <c r="A34" s="16" t="s">
        <v>28</v>
      </c>
      <c r="E34" s="1" t="s">
        <v>51</v>
      </c>
      <c r="G34" s="10"/>
    </row>
    <row r="35" spans="1:7" x14ac:dyDescent="0.2">
      <c r="A35" s="16" t="s">
        <v>52</v>
      </c>
      <c r="E35" s="1" t="s">
        <v>53</v>
      </c>
      <c r="G35" s="10"/>
    </row>
    <row r="36" spans="1:7" x14ac:dyDescent="0.2">
      <c r="A36" s="16" t="s">
        <v>54</v>
      </c>
      <c r="E36" s="1" t="s">
        <v>55</v>
      </c>
      <c r="G36" s="10"/>
    </row>
  </sheetData>
  <mergeCells count="4">
    <mergeCell ref="A1:E1"/>
    <mergeCell ref="A2:E2"/>
    <mergeCell ref="A5:E5"/>
    <mergeCell ref="A15:E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Reliance_Raw_Data</vt:lpstr>
      <vt:lpstr>Reliance_Analysis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2026-09-22T14:45:38Z</dcterms:created>
  <dcterms:modified xsi:type="dcterms:W3CDTF">2026-09-22T15:46:40Z</dcterms:modified>
</cp:coreProperties>
</file>