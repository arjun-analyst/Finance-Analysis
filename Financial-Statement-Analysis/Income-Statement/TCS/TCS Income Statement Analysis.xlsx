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junmechery/Desktop/"/>
    </mc:Choice>
  </mc:AlternateContent>
  <xr:revisionPtr revIDLastSave="0" documentId="8_{7952DF1E-2DCA-844F-9E94-1FE4BF4D395E}" xr6:coauthVersionLast="47" xr6:coauthVersionMax="47" xr10:uidLastSave="{00000000-0000-0000-0000-000000000000}"/>
  <bookViews>
    <workbookView xWindow="380" yWindow="500" windowWidth="28040" windowHeight="16140" activeTab="1" xr2:uid="{E8C7F937-7DD1-3541-B9E3-2E4CDC1B1A39}"/>
  </bookViews>
  <sheets>
    <sheet name="TCS_Raw_Data" sheetId="2" r:id="rId1"/>
    <sheet name="TCS_Analysis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" l="1"/>
  <c r="B20" i="3"/>
  <c r="C19" i="3"/>
  <c r="B19" i="3"/>
  <c r="C18" i="3"/>
  <c r="B18" i="3"/>
  <c r="C17" i="3"/>
  <c r="B17" i="3"/>
  <c r="C16" i="3"/>
  <c r="B16" i="3"/>
  <c r="C10" i="3"/>
  <c r="B10" i="3"/>
  <c r="C9" i="3"/>
  <c r="B9" i="3"/>
  <c r="C8" i="3"/>
  <c r="B8" i="3"/>
  <c r="D18" i="3" l="1"/>
  <c r="D20" i="3"/>
  <c r="D16" i="3"/>
  <c r="D9" i="3"/>
  <c r="D19" i="3"/>
  <c r="B21" i="3"/>
  <c r="D17" i="3"/>
  <c r="C21" i="3"/>
  <c r="D21" i="3" s="1"/>
  <c r="D8" i="3"/>
  <c r="B11" i="3"/>
  <c r="D10" i="3"/>
  <c r="C11" i="3"/>
  <c r="D11" i="3" l="1"/>
</calcChain>
</file>

<file path=xl/sharedStrings.xml><?xml version="1.0" encoding="utf-8"?>
<sst xmlns="http://schemas.openxmlformats.org/spreadsheetml/2006/main" count="63" uniqueCount="48">
  <si>
    <t>FY2025</t>
  </si>
  <si>
    <t>FY2026</t>
  </si>
  <si>
    <t>Profit Growth</t>
  </si>
  <si>
    <t>Net Profit Margin</t>
  </si>
  <si>
    <t>Expense</t>
  </si>
  <si>
    <t>Particulars</t>
  </si>
  <si>
    <t>Revenue from Operations</t>
  </si>
  <si>
    <t>Other Income</t>
  </si>
  <si>
    <t>Total Income</t>
  </si>
  <si>
    <t>Employee Benefit Expenses</t>
  </si>
  <si>
    <t>Cost of Equipment &amp; Software Licences</t>
  </si>
  <si>
    <t>Finance Costs</t>
  </si>
  <si>
    <t>Depreciation &amp; Amortisation</t>
  </si>
  <si>
    <t>Other Expenses</t>
  </si>
  <si>
    <t>Total Expenses</t>
  </si>
  <si>
    <t>Profit Before Tax</t>
  </si>
  <si>
    <t>Tax Expense</t>
  </si>
  <si>
    <t>Profit for the Year</t>
  </si>
  <si>
    <t>Metric</t>
  </si>
  <si>
    <t>Analyst Observation</t>
  </si>
  <si>
    <t>TCS Standalone Income Statement Analysis</t>
  </si>
  <si>
    <t>FY2025 vs FY2026</t>
  </si>
  <si>
    <t>Revenue &amp; Profitability Analysis</t>
  </si>
  <si>
    <t>Revenue increased moderately.</t>
  </si>
  <si>
    <t>Expenses grew slower than revenue.</t>
  </si>
  <si>
    <t>Profit grew faster than revenue.</t>
  </si>
  <si>
    <t>Net profitability improved by approximately 1.70 percentage points.</t>
  </si>
  <si>
    <t>Change/Growth</t>
  </si>
  <si>
    <t>Expense Analysis</t>
  </si>
  <si>
    <t>Growth %</t>
  </si>
  <si>
    <t>Employee costs grew faster than revenue.</t>
  </si>
  <si>
    <t>Relatively stable.</t>
  </si>
  <si>
    <t>Grew significantly faster than revenue.</t>
  </si>
  <si>
    <t>Grew slower than revenue.</t>
  </si>
  <si>
    <t>Highest percentage increase among major expenses.</t>
  </si>
  <si>
    <t>Decreased significantly by 69.43%.</t>
  </si>
  <si>
    <t>Key Analyst Findings</t>
  </si>
  <si>
    <t>Finding</t>
  </si>
  <si>
    <t>Observation</t>
  </si>
  <si>
    <t>Revenue vs Expense Growth</t>
  </si>
  <si>
    <t>Revenue increased by 2.83%, while total expenses increased by only 1.39%, meaning expenses grew slower than revenue.</t>
  </si>
  <si>
    <t>Profit for the year increased by 10.62%, significantly faster than revenue growth of 2.83%.</t>
  </si>
  <si>
    <t>Net profit margin improved from 22.37% to 24.06%, an improvement of approximately 1.70 percentage points.</t>
  </si>
  <si>
    <t>Employee Cost Pressure</t>
  </si>
  <si>
    <t>Employee benefit expenses increased by 4.51%, faster than revenue growth of 2.83%.</t>
  </si>
  <si>
    <t>Expense Mix</t>
  </si>
  <si>
    <t>Expense movements were mixed, with equipment/software expenses declining significantly while other expenses and finance costs increased.</t>
  </si>
  <si>
    <t>TCS Income Statement FY25 &amp; FY26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</si>
</sst>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#,##0_);[Red]\(&quot;₹&quot;#,##0\)"/>
    <numFmt numFmtId="169" formatCode="&quot;₹&quot;#,##0.00"/>
    <numFmt numFmtId="171" formatCode="&quot;₹&quot;#,##0"/>
  </numFmts>
  <fonts count="6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69" fontId="2" fillId="0" borderId="0" xfId="0" applyNumberFormat="1" applyFont="1"/>
    <xf numFmtId="169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6" fontId="0" fillId="0" borderId="0" xfId="0" applyNumberFormat="1"/>
    <xf numFmtId="6" fontId="2" fillId="0" borderId="0" xfId="0" applyNumberFormat="1" applyFont="1"/>
    <xf numFmtId="10" fontId="2" fillId="0" borderId="0" xfId="0" applyNumberFormat="1" applyFont="1"/>
    <xf numFmtId="171" fontId="2" fillId="0" borderId="0" xfId="0" applyNumberFormat="1" applyFont="1"/>
    <xf numFmtId="171" fontId="0" fillId="0" borderId="0" xfId="0" applyNumberFormat="1"/>
    <xf numFmtId="0" fontId="1" fillId="2" borderId="0" xfId="0" applyFont="1" applyFill="1"/>
    <xf numFmtId="0" fontId="3" fillId="2" borderId="0" xfId="0" applyFont="1" applyFill="1"/>
    <xf numFmtId="169" fontId="3" fillId="2" borderId="0" xfId="0" applyNumberFormat="1" applyFont="1" applyFill="1"/>
    <xf numFmtId="10" fontId="3" fillId="2" borderId="0" xfId="0" applyNumberFormat="1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A701F-DFBF-8B4B-BB79-EC1C52F06738}">
  <dimension ref="A1:F26"/>
  <sheetViews>
    <sheetView workbookViewId="0">
      <selection sqref="A1:C1"/>
    </sheetView>
  </sheetViews>
  <sheetFormatPr baseColWidth="10" defaultColWidth="12.6640625" defaultRowHeight="16" x14ac:dyDescent="0.2"/>
  <cols>
    <col min="1" max="1" width="34" bestFit="1" customWidth="1"/>
    <col min="2" max="3" width="7.1640625" bestFit="1" customWidth="1"/>
    <col min="4" max="4" width="12.6640625" style="11"/>
    <col min="5" max="5" width="12.6640625" style="3"/>
    <col min="6" max="6" width="12.6640625" style="4"/>
  </cols>
  <sheetData>
    <row r="1" spans="1:6" ht="21" x14ac:dyDescent="0.25">
      <c r="A1" s="6" t="s">
        <v>47</v>
      </c>
      <c r="B1" s="6"/>
      <c r="C1" s="6"/>
    </row>
    <row r="4" spans="1:6" x14ac:dyDescent="0.2">
      <c r="A4" s="12" t="s">
        <v>5</v>
      </c>
      <c r="B4" s="12" t="s">
        <v>0</v>
      </c>
      <c r="C4" s="12" t="s">
        <v>1</v>
      </c>
    </row>
    <row r="5" spans="1:6" x14ac:dyDescent="0.2">
      <c r="A5" t="s">
        <v>6</v>
      </c>
      <c r="B5">
        <v>214853</v>
      </c>
      <c r="C5">
        <v>220938</v>
      </c>
    </row>
    <row r="6" spans="1:6" x14ac:dyDescent="0.2">
      <c r="A6" t="s">
        <v>7</v>
      </c>
      <c r="B6">
        <v>9642</v>
      </c>
      <c r="C6">
        <v>10036</v>
      </c>
    </row>
    <row r="7" spans="1:6" x14ac:dyDescent="0.2">
      <c r="A7" s="12" t="s">
        <v>8</v>
      </c>
      <c r="B7" s="12">
        <v>224495</v>
      </c>
      <c r="C7" s="12">
        <v>230974</v>
      </c>
    </row>
    <row r="8" spans="1:6" x14ac:dyDescent="0.2">
      <c r="A8" t="s">
        <v>9</v>
      </c>
      <c r="B8">
        <v>107300</v>
      </c>
      <c r="C8">
        <v>112142</v>
      </c>
      <c r="D8" s="10"/>
      <c r="E8" s="1"/>
      <c r="F8" s="9"/>
    </row>
    <row r="9" spans="1:6" x14ac:dyDescent="0.2">
      <c r="A9" t="s">
        <v>10</v>
      </c>
      <c r="B9">
        <v>11372</v>
      </c>
      <c r="C9">
        <v>3476</v>
      </c>
      <c r="E9" s="7"/>
    </row>
    <row r="10" spans="1:6" x14ac:dyDescent="0.2">
      <c r="A10" t="s">
        <v>11</v>
      </c>
      <c r="B10">
        <v>703</v>
      </c>
      <c r="C10">
        <v>1124</v>
      </c>
      <c r="E10" s="7"/>
    </row>
    <row r="11" spans="1:6" x14ac:dyDescent="0.2">
      <c r="A11" t="s">
        <v>12</v>
      </c>
      <c r="B11">
        <v>4220</v>
      </c>
      <c r="C11">
        <v>4288</v>
      </c>
      <c r="E11" s="7"/>
    </row>
    <row r="12" spans="1:6" x14ac:dyDescent="0.2">
      <c r="A12" t="s">
        <v>13</v>
      </c>
      <c r="B12">
        <v>38252</v>
      </c>
      <c r="C12">
        <v>43071</v>
      </c>
      <c r="E12" s="7"/>
    </row>
    <row r="13" spans="1:6" x14ac:dyDescent="0.2">
      <c r="A13" s="12" t="s">
        <v>14</v>
      </c>
      <c r="B13" s="12">
        <v>161847</v>
      </c>
      <c r="C13" s="12">
        <v>164101</v>
      </c>
      <c r="E13" s="7"/>
    </row>
    <row r="14" spans="1:6" x14ac:dyDescent="0.2">
      <c r="A14" t="s">
        <v>15</v>
      </c>
      <c r="B14">
        <v>62648</v>
      </c>
      <c r="C14">
        <v>66873</v>
      </c>
      <c r="D14" s="10"/>
      <c r="E14" s="8"/>
      <c r="F14" s="9"/>
    </row>
    <row r="15" spans="1:6" x14ac:dyDescent="0.2">
      <c r="A15" t="s">
        <v>16</v>
      </c>
      <c r="B15">
        <v>14591</v>
      </c>
      <c r="C15">
        <v>13710</v>
      </c>
    </row>
    <row r="16" spans="1:6" x14ac:dyDescent="0.2">
      <c r="A16" s="12" t="s">
        <v>17</v>
      </c>
      <c r="B16" s="12">
        <v>48057</v>
      </c>
      <c r="C16" s="12">
        <v>53163</v>
      </c>
    </row>
    <row r="20" spans="3:4" x14ac:dyDescent="0.2">
      <c r="C20" s="1"/>
      <c r="D20" s="10"/>
    </row>
    <row r="26" spans="3:4" x14ac:dyDescent="0.2">
      <c r="C26" s="1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0CF4-3E9F-A543-B51A-B8E231A455C1}">
  <dimension ref="A1:E31"/>
  <sheetViews>
    <sheetView tabSelected="1" workbookViewId="0">
      <selection activeCell="G19" sqref="G19"/>
    </sheetView>
  </sheetViews>
  <sheetFormatPr baseColWidth="10" defaultRowHeight="16" x14ac:dyDescent="0.2"/>
  <cols>
    <col min="1" max="1" width="37.5" bestFit="1" customWidth="1"/>
    <col min="2" max="3" width="11.83203125" style="3" bestFit="1" customWidth="1"/>
    <col min="4" max="4" width="14.1640625" style="4" bestFit="1" customWidth="1"/>
    <col min="5" max="5" width="121.33203125" bestFit="1" customWidth="1"/>
  </cols>
  <sheetData>
    <row r="1" spans="1:5" ht="21" x14ac:dyDescent="0.25">
      <c r="A1" s="6" t="s">
        <v>20</v>
      </c>
      <c r="B1" s="6"/>
      <c r="C1" s="6"/>
      <c r="D1" s="6"/>
      <c r="E1" s="6"/>
    </row>
    <row r="2" spans="1:5" x14ac:dyDescent="0.2">
      <c r="A2" s="5" t="s">
        <v>21</v>
      </c>
      <c r="B2" s="5"/>
      <c r="C2" s="5"/>
      <c r="D2" s="5"/>
      <c r="E2" s="5"/>
    </row>
    <row r="5" spans="1:5" ht="19" x14ac:dyDescent="0.25">
      <c r="A5" s="16" t="s">
        <v>22</v>
      </c>
    </row>
    <row r="6" spans="1:5" x14ac:dyDescent="0.2">
      <c r="B6" s="2"/>
      <c r="C6" s="2"/>
      <c r="D6" s="9"/>
      <c r="E6" s="1"/>
    </row>
    <row r="7" spans="1:5" x14ac:dyDescent="0.2">
      <c r="A7" s="13" t="s">
        <v>18</v>
      </c>
      <c r="B7" s="14" t="s">
        <v>0</v>
      </c>
      <c r="C7" s="14" t="s">
        <v>1</v>
      </c>
      <c r="D7" s="15" t="s">
        <v>27</v>
      </c>
      <c r="E7" s="13" t="s">
        <v>19</v>
      </c>
    </row>
    <row r="8" spans="1:5" x14ac:dyDescent="0.2">
      <c r="A8" t="s">
        <v>6</v>
      </c>
      <c r="B8" s="3">
        <f>TCS_Raw_Data!B5</f>
        <v>214853</v>
      </c>
      <c r="C8" s="3">
        <f>TCS_Raw_Data!C5</f>
        <v>220938</v>
      </c>
      <c r="D8" s="4">
        <f>(C8-B8)/B8</f>
        <v>2.8321689713431974E-2</v>
      </c>
      <c r="E8" s="1" t="s">
        <v>23</v>
      </c>
    </row>
    <row r="9" spans="1:5" x14ac:dyDescent="0.2">
      <c r="A9" t="s">
        <v>14</v>
      </c>
      <c r="B9" s="3">
        <f>TCS_Raw_Data!B13</f>
        <v>161847</v>
      </c>
      <c r="C9" s="3">
        <f>TCS_Raw_Data!C13</f>
        <v>164101</v>
      </c>
      <c r="D9" s="4">
        <f>(C9-B9)/B9</f>
        <v>1.3926733272782319E-2</v>
      </c>
      <c r="E9" s="1" t="s">
        <v>24</v>
      </c>
    </row>
    <row r="10" spans="1:5" x14ac:dyDescent="0.2">
      <c r="A10" t="s">
        <v>17</v>
      </c>
      <c r="B10" s="3">
        <f>TCS_Raw_Data!B16</f>
        <v>48057</v>
      </c>
      <c r="C10" s="3">
        <f>TCS_Raw_Data!C16</f>
        <v>53163</v>
      </c>
      <c r="D10" s="4">
        <f>(C10-B10)/B10</f>
        <v>0.106248829514951</v>
      </c>
      <c r="E10" s="1" t="s">
        <v>25</v>
      </c>
    </row>
    <row r="11" spans="1:5" x14ac:dyDescent="0.2">
      <c r="A11" t="s">
        <v>3</v>
      </c>
      <c r="B11" s="4">
        <f>B10/B8</f>
        <v>0.223673860732687</v>
      </c>
      <c r="C11" s="4">
        <f>C10/C8</f>
        <v>0.24062406648018902</v>
      </c>
      <c r="D11" s="4">
        <f>C11-B11</f>
        <v>1.6950205747502028E-2</v>
      </c>
      <c r="E11" s="1" t="s">
        <v>26</v>
      </c>
    </row>
    <row r="12" spans="1:5" x14ac:dyDescent="0.2">
      <c r="B12" s="4"/>
      <c r="C12" s="4"/>
    </row>
    <row r="13" spans="1:5" ht="19" x14ac:dyDescent="0.25">
      <c r="A13" s="16" t="s">
        <v>28</v>
      </c>
    </row>
    <row r="15" spans="1:5" x14ac:dyDescent="0.2">
      <c r="A15" s="13" t="s">
        <v>4</v>
      </c>
      <c r="B15" s="13" t="s">
        <v>0</v>
      </c>
      <c r="C15" s="13" t="s">
        <v>1</v>
      </c>
      <c r="D15" s="13" t="s">
        <v>29</v>
      </c>
      <c r="E15" s="13" t="s">
        <v>19</v>
      </c>
    </row>
    <row r="16" spans="1:5" x14ac:dyDescent="0.2">
      <c r="A16" t="s">
        <v>9</v>
      </c>
      <c r="B16" s="3">
        <f>TCS_Raw_Data!B8</f>
        <v>107300</v>
      </c>
      <c r="C16" s="3">
        <f>TCS_Raw_Data!C8</f>
        <v>112142</v>
      </c>
      <c r="D16" s="4">
        <f>(C16-B16)/B16</f>
        <v>4.5125815470643059E-2</v>
      </c>
      <c r="E16" s="1" t="s">
        <v>30</v>
      </c>
    </row>
    <row r="17" spans="1:5" x14ac:dyDescent="0.2">
      <c r="A17" t="s">
        <v>10</v>
      </c>
      <c r="B17" s="3">
        <f>TCS_Raw_Data!B9</f>
        <v>11372</v>
      </c>
      <c r="C17" s="3">
        <f>TCS_Raw_Data!C9</f>
        <v>3476</v>
      </c>
      <c r="D17" s="4">
        <f t="shared" ref="D17:D21" si="0">(C17-B17)/B17</f>
        <v>-0.6943369679915582</v>
      </c>
      <c r="E17" s="1" t="s">
        <v>35</v>
      </c>
    </row>
    <row r="18" spans="1:5" x14ac:dyDescent="0.2">
      <c r="A18" t="s">
        <v>11</v>
      </c>
      <c r="B18" s="3">
        <f>TCS_Raw_Data!B10</f>
        <v>703</v>
      </c>
      <c r="C18" s="3">
        <f>TCS_Raw_Data!C10</f>
        <v>1124</v>
      </c>
      <c r="D18" s="4">
        <f t="shared" si="0"/>
        <v>0.59886201991465149</v>
      </c>
      <c r="E18" s="1" t="s">
        <v>34</v>
      </c>
    </row>
    <row r="19" spans="1:5" x14ac:dyDescent="0.2">
      <c r="A19" t="s">
        <v>12</v>
      </c>
      <c r="B19" s="3">
        <f>TCS_Raw_Data!B11</f>
        <v>4220</v>
      </c>
      <c r="C19" s="3">
        <f>TCS_Raw_Data!C11</f>
        <v>4288</v>
      </c>
      <c r="D19" s="4">
        <f t="shared" si="0"/>
        <v>1.6113744075829384E-2</v>
      </c>
      <c r="E19" s="1" t="s">
        <v>31</v>
      </c>
    </row>
    <row r="20" spans="1:5" x14ac:dyDescent="0.2">
      <c r="A20" t="s">
        <v>13</v>
      </c>
      <c r="B20" s="3">
        <f>TCS_Raw_Data!B12</f>
        <v>38252</v>
      </c>
      <c r="C20" s="3">
        <f>TCS_Raw_Data!C12</f>
        <v>43071</v>
      </c>
      <c r="D20" s="4">
        <f t="shared" si="0"/>
        <v>0.125980340897208</v>
      </c>
      <c r="E20" s="1" t="s">
        <v>32</v>
      </c>
    </row>
    <row r="21" spans="1:5" x14ac:dyDescent="0.2">
      <c r="A21" s="1" t="s">
        <v>14</v>
      </c>
      <c r="B21" s="3">
        <f>SUM(B16:B20)</f>
        <v>161847</v>
      </c>
      <c r="C21" s="3">
        <f>SUM(C16:C20)</f>
        <v>164101</v>
      </c>
      <c r="D21" s="4">
        <f t="shared" si="0"/>
        <v>1.3926733272782319E-2</v>
      </c>
      <c r="E21" s="1" t="s">
        <v>33</v>
      </c>
    </row>
    <row r="24" spans="1:5" ht="19" x14ac:dyDescent="0.25">
      <c r="A24" s="16" t="s">
        <v>36</v>
      </c>
    </row>
    <row r="26" spans="1:5" x14ac:dyDescent="0.2">
      <c r="A26" s="13" t="s">
        <v>37</v>
      </c>
      <c r="B26" s="13"/>
      <c r="C26" s="13"/>
      <c r="D26" s="13"/>
      <c r="E26" s="13" t="s">
        <v>38</v>
      </c>
    </row>
    <row r="27" spans="1:5" x14ac:dyDescent="0.2">
      <c r="A27" t="s">
        <v>39</v>
      </c>
      <c r="B27"/>
      <c r="C27"/>
      <c r="D27"/>
      <c r="E27" s="1" t="s">
        <v>40</v>
      </c>
    </row>
    <row r="28" spans="1:5" x14ac:dyDescent="0.2">
      <c r="A28" t="s">
        <v>2</v>
      </c>
      <c r="B28"/>
      <c r="C28"/>
      <c r="D28"/>
      <c r="E28" s="1" t="s">
        <v>41</v>
      </c>
    </row>
    <row r="29" spans="1:5" x14ac:dyDescent="0.2">
      <c r="A29" t="s">
        <v>3</v>
      </c>
      <c r="B29"/>
      <c r="C29"/>
      <c r="D29"/>
      <c r="E29" s="1" t="s">
        <v>42</v>
      </c>
    </row>
    <row r="30" spans="1:5" x14ac:dyDescent="0.2">
      <c r="A30" t="s">
        <v>43</v>
      </c>
      <c r="B30"/>
      <c r="C30"/>
      <c r="D30"/>
      <c r="E30" s="1" t="s">
        <v>44</v>
      </c>
    </row>
    <row r="31" spans="1:5" x14ac:dyDescent="0.2">
      <c r="A31" t="s">
        <v>45</v>
      </c>
      <c r="B31"/>
      <c r="C31"/>
      <c r="D31"/>
      <c r="E31" s="1" t="s">
        <v>46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TCS_Raw_Data</vt:lpstr>
      <vt:lpstr>TCS_Analysis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2026-09-21T15:14:45Z</dcterms:created>
  <dcterms:modified xsi:type="dcterms:W3CDTF">2026-09-22T14:25:51Z</dcterms:modified>
</cp:coreProperties>
</file>